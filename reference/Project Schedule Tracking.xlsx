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  <sheet state="visible" name="Gantt Chart" sheetId="2" r:id="rId6"/>
    <sheet state="visible" name="Budget" sheetId="3" r:id="rId7"/>
  </sheets>
  <definedNames/>
  <calcPr/>
</workbook>
</file>

<file path=xl/sharedStrings.xml><?xml version="1.0" encoding="utf-8"?>
<sst xmlns="http://schemas.openxmlformats.org/spreadsheetml/2006/main" count="88" uniqueCount="74">
  <si>
    <t>Horizontal Tailplane Project Timeline (Gantt Chart)</t>
  </si>
  <si>
    <t>Visual Project Workflow | Aerospace Structural Optimization</t>
  </si>
  <si>
    <t>Task ID</t>
  </si>
  <si>
    <t>Task Name</t>
  </si>
  <si>
    <t>Status</t>
  </si>
  <si>
    <t>Parametric APDL Horizontal Tailplane Structural Analysis</t>
  </si>
  <si>
    <t>Total Tasks</t>
  </si>
  <si>
    <t>Estimated Project Budget &amp; Resource Allocation</t>
  </si>
  <si>
    <t>Completed</t>
  </si>
  <si>
    <t>In Progress</t>
  </si>
  <si>
    <t>Total Allocated Budget</t>
  </si>
  <si>
    <t>Pending</t>
  </si>
  <si>
    <t>Proposal Milestone</t>
  </si>
  <si>
    <t>Total Actual Cost</t>
  </si>
  <si>
    <t>Project Schedule &amp; Milestone Tracking</t>
  </si>
  <si>
    <t>Net Variance</t>
  </si>
  <si>
    <t>Coursework &amp; Laboratory Resource Utilization | APDL &amp; MATLAB</t>
  </si>
  <si>
    <t>Item / Resource</t>
  </si>
  <si>
    <t>Description</t>
  </si>
  <si>
    <t>Source &amp; Licensing</t>
  </si>
  <si>
    <t>Cost (THB)</t>
  </si>
  <si>
    <t>Funding Status</t>
  </si>
  <si>
    <t>ANSYS Mechanical APDL 2026 R1</t>
  </si>
  <si>
    <t>Finite element modelling and structural analysis</t>
  </si>
  <si>
    <t>ANSYS Student version (free)</t>
  </si>
  <si>
    <t>University / Academic Free</t>
  </si>
  <si>
    <t>MATLAB</t>
  </si>
  <si>
    <t>SFBM load pre-processing &amp; numerical solver</t>
  </si>
  <si>
    <t>University license (student academic account)</t>
  </si>
  <si>
    <t>Institutional License</t>
  </si>
  <si>
    <t>Computer workstations</t>
  </si>
  <si>
    <t>Running simulations and mesh generation</t>
  </si>
  <si>
    <t>Personal student laptops</t>
  </si>
  <si>
    <t>Existing Personal Resource</t>
  </si>
  <si>
    <t>Category / Deliverable</t>
  </si>
  <si>
    <t>Course materials &amp; reports</t>
  </si>
  <si>
    <t>Documentation and presentation materials</t>
  </si>
  <si>
    <t>Start Date</t>
  </si>
  <si>
    <t>Digital submission</t>
  </si>
  <si>
    <t>End Date</t>
  </si>
  <si>
    <t>Duration (Days)</t>
  </si>
  <si>
    <t>Department Digital Facility</t>
  </si>
  <si>
    <t>Total Estimated Cost</t>
  </si>
  <si>
    <t>T-01</t>
  </si>
  <si>
    <t>Initial topic study (aircraft window structure)</t>
  </si>
  <si>
    <t>Topic Selection &amp; Literature</t>
  </si>
  <si>
    <t>Fully Funded / Zero Cost</t>
  </si>
  <si>
    <t>T-02</t>
  </si>
  <si>
    <t>Topic change to horizontal tailplane; literature review</t>
  </si>
  <si>
    <t>T-03</t>
  </si>
  <si>
    <t>Step 1: Data collection &amp; parameter definition</t>
  </si>
  <si>
    <t>Stage 1: Input Data</t>
  </si>
  <si>
    <t>T-04</t>
  </si>
  <si>
    <t>Step 2: Parametric APDL script development</t>
  </si>
  <si>
    <t>Stage 2a: APDL Script</t>
  </si>
  <si>
    <t>T-05</t>
  </si>
  <si>
    <t>Proposal presentation for project approval</t>
  </si>
  <si>
    <t>Major Milestone</t>
  </si>
  <si>
    <t>T-06</t>
  </si>
  <si>
    <t>Step 3: SFBM load pre-processing (MATLAB)</t>
  </si>
  <si>
    <t>Stage 2b: Load Reconstruction</t>
  </si>
  <si>
    <t>T-07</t>
  </si>
  <si>
    <t>Step 4: Configuration setup &amp; Step 5: Model verification</t>
  </si>
  <si>
    <t>Stage 3a-b: Setup &amp; Verification</t>
  </si>
  <si>
    <t>T-08</t>
  </si>
  <si>
    <t>Step 6: Static analysis &amp; Step 7: Baseline validation</t>
  </si>
  <si>
    <t>Stage 3c: Static FEM Analysis</t>
  </si>
  <si>
    <t>T-09</t>
  </si>
  <si>
    <t>Step 8: Evaluation &amp; comparison (Config A, B, C)</t>
  </si>
  <si>
    <t>Stage 3d: Optimization</t>
  </si>
  <si>
    <t>T-10</t>
  </si>
  <si>
    <t>Step 9: Final Report preparation</t>
  </si>
  <si>
    <t>Documentation &amp; Submission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</si>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</sst>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-mmm"/>
    <numFmt numFmtId="166" formatCode="&quot;THB &quot;#,##0.00"/>
  </numFmts>
  <fonts count="11">
    <font>
      <sz val="10.0"/>
      <color rgb="FF000000"/>
      <name val="Arial"/>
      <scheme val="minor"/>
    </font>
    <font>
      <b/>
      <sz val="13.0"/>
      <color rgb="FF19355B"/>
      <name val="Roboto"/>
    </font>
    <font>
      <b/>
      <sz val="9.0"/>
      <color rgb="FF3F4C66"/>
      <name val="Roboto"/>
    </font>
    <font>
      <color theme="1"/>
      <name val="Arial"/>
      <scheme val="minor"/>
    </font>
    <font>
      <sz val="9.0"/>
      <color rgb="FF66727F"/>
      <name val="Roboto"/>
    </font>
    <font>
      <b/>
      <sz val="10.0"/>
      <color rgb="FFFFFFFF"/>
      <name val="Arial"/>
      <scheme val="minor"/>
    </font>
    <font>
      <b/>
      <sz val="8.0"/>
      <color rgb="FFFFFFFF"/>
      <name val="Arial"/>
      <scheme val="minor"/>
    </font>
    <font>
      <b/>
      <sz val="14.0"/>
      <color rgb="FF19355B"/>
      <name val="Roboto"/>
    </font>
    <font>
      <sz val="10.0"/>
      <color theme="1"/>
      <name val="Roboto"/>
    </font>
    <font>
      <b/>
      <sz val="10.0"/>
      <color theme="1"/>
      <name val="Arial"/>
      <scheme val="minor"/>
    </font>
    <font>
      <b/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9355B"/>
        <bgColor rgb="FF19355B"/>
      </patternFill>
    </fill>
    <fill>
      <patternFill patternType="solid">
        <fgColor rgb="FFEDF2F9"/>
        <bgColor rgb="FFEDF2F9"/>
      </patternFill>
    </fill>
    <fill>
      <patternFill patternType="solid">
        <fgColor rgb="FFF7F9FF"/>
        <bgColor rgb="FFF7F9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2" fontId="2" numFmtId="0" xfId="0" applyAlignment="1" applyFill="1" applyFont="1">
      <alignment horizontal="center" readingOrder="0" vertical="center"/>
    </xf>
    <xf borderId="0" fillId="2" fontId="3" numFmtId="0" xfId="0" applyFill="1" applyFont="1"/>
    <xf borderId="0" fillId="0" fontId="4" numFmtId="0" xfId="0" applyAlignment="1" applyFont="1">
      <alignment readingOrder="0" vertical="center"/>
    </xf>
    <xf borderId="0" fillId="2" fontId="1" numFmtId="164" xfId="0" applyAlignment="1" applyFill="1" applyFont="1" applyNumberFormat="1">
      <alignment horizontal="center" vertical="center"/>
    </xf>
    <xf borderId="0" fillId="2" fontId="1" numFmtId="3" xfId="0" applyAlignment="1" applyFill="1" applyFont="1" applyNumberFormat="1">
      <alignment horizontal="center" vertical="center"/>
    </xf>
    <xf borderId="0" fillId="3" fontId="5" numFmtId="0" xfId="0" applyAlignment="1" applyFill="1" applyFont="1">
      <alignment horizontal="center" readingOrder="0" vertical="center"/>
    </xf>
    <xf borderId="0" fillId="3" fontId="6" numFmtId="165" xfId="0" applyAlignment="1" applyFill="1" applyFont="1" applyNumberForma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4" fontId="2" numFmtId="0" xfId="0" applyAlignment="1" applyFill="1" applyFont="1">
      <alignment horizontal="center" readingOrder="0" vertical="center"/>
    </xf>
    <xf borderId="0" fillId="5" fontId="1" numFmtId="166" xfId="0" applyAlignment="1" applyFill="1" applyFont="1" applyNumberFormat="1">
      <alignment horizontal="center" vertical="center"/>
    </xf>
    <xf borderId="0" fillId="5" fontId="1" numFmtId="3" xfId="0" applyAlignment="1" applyFill="1" applyFont="1" applyNumberFormat="1">
      <alignment horizontal="center" vertical="center"/>
    </xf>
    <xf borderId="0" fillId="5" fontId="1" numFmtId="166" xfId="0" applyAlignment="1" applyFill="1" applyFont="1" applyNumberFormat="1">
      <alignment horizontal="center" readingOrder="0" vertic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8" numFmtId="166" xfId="0" applyAlignment="1" applyFont="1" applyNumberFormat="1">
      <alignment horizontal="right" readingOrder="0"/>
    </xf>
    <xf borderId="0" fillId="0" fontId="8" numFmtId="0" xfId="0" applyAlignment="1" applyFont="1">
      <alignment horizontal="center" readingOrder="0"/>
    </xf>
    <xf borderId="0" fillId="5" fontId="1" numFmtId="164" xfId="0" applyAlignment="1" applyFill="1" applyFont="1" applyNumberFormat="1">
      <alignment horizontal="center" readingOrder="0" vertical="center"/>
    </xf>
    <xf borderId="0" fillId="0" fontId="8" numFmtId="0" xfId="0" applyFont="1"/>
    <xf borderId="0" fillId="4" fontId="9" numFmtId="0" xfId="0" applyAlignment="1" applyFill="1" applyFont="1">
      <alignment readingOrder="0" vertical="center"/>
    </xf>
    <xf borderId="0" fillId="4" fontId="9" numFmtId="166" xfId="0" applyAlignment="1" applyFill="1" applyFont="1" applyNumberFormat="1">
      <alignment horizontal="right" vertical="center"/>
    </xf>
    <xf borderId="0" fillId="0" fontId="8" numFmtId="164" xfId="0" applyAlignment="1" applyFont="1" applyNumberFormat="1">
      <alignment horizontal="center" readingOrder="0"/>
    </xf>
    <xf borderId="0" fillId="0" fontId="10" numFmtId="0" xfId="0" applyAlignment="1" applyFont="1">
      <alignment horizontal="center" vertical="center"/>
    </xf>
    <xf borderId="0" fillId="0" fontId="8" numFmtId="3" xfId="0" applyAlignment="1" applyFont="1" applyNumberFormat="1">
      <alignment horizontal="right"/>
    </xf>
    <xf borderId="0" fillId="4" fontId="9" numFmtId="3" xfId="0" applyAlignment="1" applyFill="1" applyFont="1" applyNumberFormat="1">
      <alignment horizontal="right"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7F9FC"/>
          <bgColor rgb="FFF7F9FC"/>
        </patternFill>
      </fill>
      <border/>
    </dxf>
    <dxf>
      <font>
        <b/>
        <color rgb="FF146F2D"/>
      </font>
      <fill>
        <patternFill patternType="solid">
          <fgColor rgb="FFD9EBD3"/>
          <bgColor rgb="FFD9EBD3"/>
        </patternFill>
      </fill>
      <border/>
    </dxf>
    <dxf>
      <font>
        <b/>
        <color rgb="FF084592"/>
      </font>
      <fill>
        <patternFill patternType="solid">
          <fgColor rgb="FFD6E4FB"/>
          <bgColor rgb="FFD6E4FB"/>
        </patternFill>
      </fill>
      <border/>
    </dxf>
    <dxf>
      <font>
        <b/>
        <color rgb="FF664D03"/>
      </font>
      <fill>
        <patternFill patternType="solid">
          <fgColor rgb="FFFDEFC5"/>
          <bgColor rgb="FFFDEFC5"/>
        </patternFill>
      </fill>
      <border/>
    </dxf>
    <dxf>
      <font>
        <b/>
        <color rgb="FFFFFFFF"/>
      </font>
      <fill>
        <patternFill patternType="solid">
          <fgColor rgb="FFD8A521"/>
          <bgColor rgb="FFD8A521"/>
        </patternFill>
      </fill>
      <border/>
    </dxf>
    <dxf>
      <font>
        <color rgb="FF3F66A5"/>
      </font>
      <fill>
        <patternFill patternType="solid">
          <fgColor rgb="FF3F66A5"/>
          <bgColor rgb="FF3F66A5"/>
        </patternFill>
      </fill>
      <border/>
    </dxf>
  </dxfs>
  <tableStyles count="2">
    <tableStyle count="2" pivot="0" name="Schedule-style">
      <tableStyleElement dxfId="1" type="firstRowStripe"/>
      <tableStyleElement dxfId="2" type="secondRowStripe"/>
    </tableStyle>
    <tableStyle count="2" pivot="0" name="Budge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7:H16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hedule-style" showColumnStripes="0" showFirstColumn="1" showLastColumn="1" showRowStripes="1"/>
</table>
</file>

<file path=xl/tables/table2.xml><?xml version="1.0" encoding="utf-8"?>
<table xmlns="http://schemas.openxmlformats.org/spreadsheetml/2006/main" headerRowCount="0" ref="B7:F10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Budg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25"/>
    <col customWidth="1" min="2" max="2" width="9.5"/>
    <col customWidth="1" min="3" max="3" width="53.13"/>
    <col customWidth="1" min="4" max="4" width="23.88"/>
    <col customWidth="1" min="5" max="5" width="15.75"/>
    <col customWidth="1" min="6" max="7" width="13.25"/>
    <col customWidth="1" min="8" max="8" width="17.0"/>
  </cols>
  <sheetData>
    <row r="2">
      <c r="B2" s="9" t="s">
        <v>5</v>
      </c>
      <c r="D2" s="10" t="s">
        <v>6</v>
      </c>
      <c r="E2" s="10" t="s">
        <v>8</v>
      </c>
      <c r="F2" s="10" t="s">
        <v>9</v>
      </c>
      <c r="G2" s="10" t="s">
        <v>11</v>
      </c>
      <c r="H2" s="10" t="s">
        <v>12</v>
      </c>
    </row>
    <row r="3">
      <c r="B3" s="4" t="s">
        <v>14</v>
      </c>
      <c r="D3" s="12">
        <f>COUNTA(B7:B16)</f>
        <v>10</v>
      </c>
      <c r="E3" s="12">
        <f>COUNTIF(E7:E17,"Completed")</f>
        <v>3</v>
      </c>
      <c r="F3" s="12">
        <f>COUNTIF(E7:E17,"In Progress")</f>
        <v>1</v>
      </c>
      <c r="G3" s="12">
        <f>COUNTIF(E7:E17,"Pending")</f>
        <v>6</v>
      </c>
      <c r="H3" s="18">
        <v>46295.0</v>
      </c>
    </row>
    <row r="6">
      <c r="B6" s="7" t="s">
        <v>2</v>
      </c>
      <c r="C6" s="7" t="s">
        <v>3</v>
      </c>
      <c r="D6" s="7" t="s">
        <v>34</v>
      </c>
      <c r="E6" s="7" t="s">
        <v>4</v>
      </c>
      <c r="F6" s="7" t="s">
        <v>37</v>
      </c>
      <c r="G6" s="7" t="s">
        <v>39</v>
      </c>
      <c r="H6" s="7" t="s">
        <v>40</v>
      </c>
    </row>
    <row r="7">
      <c r="B7" s="17" t="s">
        <v>43</v>
      </c>
      <c r="C7" s="15" t="s">
        <v>44</v>
      </c>
      <c r="D7" s="15" t="s">
        <v>45</v>
      </c>
      <c r="E7" s="15" t="s">
        <v>8</v>
      </c>
      <c r="F7" s="22">
        <v>46281.0</v>
      </c>
      <c r="G7" s="22">
        <v>46287.0</v>
      </c>
      <c r="H7" s="24">
        <f t="shared" ref="H7:H16" si="1">G7-F7+1</f>
        <v>7</v>
      </c>
    </row>
    <row r="8">
      <c r="B8" s="17" t="s">
        <v>47</v>
      </c>
      <c r="C8" s="15" t="s">
        <v>48</v>
      </c>
      <c r="D8" s="15" t="s">
        <v>45</v>
      </c>
      <c r="E8" s="15" t="s">
        <v>8</v>
      </c>
      <c r="F8" s="22">
        <v>46288.0</v>
      </c>
      <c r="G8" s="22">
        <v>46290.0</v>
      </c>
      <c r="H8" s="24">
        <f t="shared" si="1"/>
        <v>3</v>
      </c>
    </row>
    <row r="9">
      <c r="B9" s="17" t="s">
        <v>49</v>
      </c>
      <c r="C9" s="15" t="s">
        <v>50</v>
      </c>
      <c r="D9" s="15" t="s">
        <v>51</v>
      </c>
      <c r="E9" s="15" t="s">
        <v>8</v>
      </c>
      <c r="F9" s="22">
        <v>46291.0</v>
      </c>
      <c r="G9" s="22">
        <v>46292.0</v>
      </c>
      <c r="H9" s="24">
        <f t="shared" si="1"/>
        <v>2</v>
      </c>
    </row>
    <row r="10">
      <c r="B10" s="17" t="s">
        <v>52</v>
      </c>
      <c r="C10" s="15" t="s">
        <v>53</v>
      </c>
      <c r="D10" s="15" t="s">
        <v>54</v>
      </c>
      <c r="E10" s="15" t="s">
        <v>9</v>
      </c>
      <c r="F10" s="22">
        <v>46293.0</v>
      </c>
      <c r="G10" s="22">
        <v>46295.0</v>
      </c>
      <c r="H10" s="24">
        <f t="shared" si="1"/>
        <v>3</v>
      </c>
    </row>
    <row r="11">
      <c r="B11" s="17" t="s">
        <v>55</v>
      </c>
      <c r="C11" s="15" t="s">
        <v>56</v>
      </c>
      <c r="D11" s="15" t="s">
        <v>57</v>
      </c>
      <c r="E11" s="15" t="s">
        <v>11</v>
      </c>
      <c r="F11" s="22">
        <v>46295.0</v>
      </c>
      <c r="G11" s="22">
        <v>46295.0</v>
      </c>
      <c r="H11" s="24">
        <f t="shared" si="1"/>
        <v>1</v>
      </c>
    </row>
    <row r="12">
      <c r="B12" s="17" t="s">
        <v>58</v>
      </c>
      <c r="C12" s="15" t="s">
        <v>59</v>
      </c>
      <c r="D12" s="15" t="s">
        <v>60</v>
      </c>
      <c r="E12" s="15" t="s">
        <v>11</v>
      </c>
      <c r="F12" s="22">
        <v>46296.0</v>
      </c>
      <c r="G12" s="22">
        <v>46297.0</v>
      </c>
      <c r="H12" s="24">
        <f t="shared" si="1"/>
        <v>2</v>
      </c>
    </row>
    <row r="13">
      <c r="B13" s="17" t="s">
        <v>61</v>
      </c>
      <c r="C13" s="15" t="s">
        <v>62</v>
      </c>
      <c r="D13" s="15" t="s">
        <v>63</v>
      </c>
      <c r="E13" s="15" t="s">
        <v>11</v>
      </c>
      <c r="F13" s="22">
        <v>46298.0</v>
      </c>
      <c r="G13" s="22">
        <v>46299.0</v>
      </c>
      <c r="H13" s="24">
        <f t="shared" si="1"/>
        <v>2</v>
      </c>
    </row>
    <row r="14">
      <c r="B14" s="17" t="s">
        <v>64</v>
      </c>
      <c r="C14" s="15" t="s">
        <v>65</v>
      </c>
      <c r="D14" s="15" t="s">
        <v>66</v>
      </c>
      <c r="E14" s="15" t="s">
        <v>11</v>
      </c>
      <c r="F14" s="22">
        <v>46300.0</v>
      </c>
      <c r="G14" s="22">
        <v>46301.0</v>
      </c>
      <c r="H14" s="24">
        <f t="shared" si="1"/>
        <v>2</v>
      </c>
    </row>
    <row r="15">
      <c r="B15" s="17" t="s">
        <v>67</v>
      </c>
      <c r="C15" s="15" t="s">
        <v>68</v>
      </c>
      <c r="D15" s="15" t="s">
        <v>69</v>
      </c>
      <c r="E15" s="15" t="s">
        <v>11</v>
      </c>
      <c r="F15" s="22">
        <v>46302.0</v>
      </c>
      <c r="G15" s="22">
        <v>46303.0</v>
      </c>
      <c r="H15" s="24">
        <f t="shared" si="1"/>
        <v>2</v>
      </c>
    </row>
    <row r="16">
      <c r="B16" s="17" t="s">
        <v>70</v>
      </c>
      <c r="C16" s="15" t="s">
        <v>71</v>
      </c>
      <c r="D16" s="15" t="s">
        <v>72</v>
      </c>
      <c r="E16" s="15" t="s">
        <v>11</v>
      </c>
      <c r="F16" s="22">
        <v>46304.0</v>
      </c>
      <c r="G16" s="22">
        <v>46305.0</v>
      </c>
      <c r="H16" s="24">
        <f t="shared" si="1"/>
        <v>2</v>
      </c>
    </row>
    <row r="17">
      <c r="B17" s="20" t="s">
        <v>73</v>
      </c>
      <c r="H17" s="25">
        <f>SUM(H7:H16)</f>
        <v>26</v>
      </c>
    </row>
  </sheetData>
  <mergeCells count="3">
    <mergeCell ref="B2:C2"/>
    <mergeCell ref="B3:C3"/>
    <mergeCell ref="B17:G17"/>
  </mergeCells>
  <conditionalFormatting sqref="E7:E16">
    <cfRule type="cellIs" dxfId="3" priority="1" stopIfTrue="1" operator="equal">
      <formula>"Completed"</formula>
    </cfRule>
  </conditionalFormatting>
  <conditionalFormatting sqref="E7:E16">
    <cfRule type="cellIs" dxfId="4" priority="2" stopIfTrue="1" operator="equal">
      <formula>"In Progress"</formula>
    </cfRule>
  </conditionalFormatting>
  <conditionalFormatting sqref="E7:E16">
    <cfRule type="cellIs" dxfId="5" priority="3" stopIfTrue="1" operator="equal">
      <formula>"Pending"</formula>
    </cfRule>
  </conditionalFormatting>
  <dataValidations>
    <dataValidation type="list" allowBlank="1" sqref="E7:E16">
      <formula1>"Completed,In Progress,Pending"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3.25"/>
    <col customWidth="1" min="2" max="2" width="8.88"/>
    <col customWidth="1" min="3" max="3" width="41.75"/>
    <col customWidth="1" min="4" max="4" width="13.88"/>
    <col customWidth="1" min="5" max="7" width="6.13"/>
    <col customWidth="1" min="8" max="29" width="4.63"/>
  </cols>
  <sheetData>
    <row r="2">
      <c r="B2" s="1" t="s">
        <v>0</v>
      </c>
      <c r="D2" s="2"/>
      <c r="E2" s="2"/>
      <c r="F2" s="2"/>
      <c r="G2" s="2"/>
      <c r="H2" s="3"/>
    </row>
    <row r="3">
      <c r="B3" s="4" t="s">
        <v>1</v>
      </c>
      <c r="D3" s="5"/>
      <c r="E3" s="5"/>
      <c r="F3" s="6"/>
      <c r="G3" s="5"/>
      <c r="H3" s="3"/>
    </row>
    <row r="5">
      <c r="B5" s="7" t="s">
        <v>2</v>
      </c>
      <c r="C5" s="7" t="s">
        <v>3</v>
      </c>
      <c r="D5" s="7" t="s">
        <v>4</v>
      </c>
      <c r="E5" s="8">
        <v>46281.0</v>
      </c>
      <c r="F5" s="8">
        <v>46282.0</v>
      </c>
      <c r="G5" s="8">
        <v>46283.0</v>
      </c>
      <c r="H5" s="8">
        <v>46284.0</v>
      </c>
      <c r="I5" s="8">
        <v>46285.0</v>
      </c>
      <c r="J5" s="8">
        <v>46286.0</v>
      </c>
      <c r="K5" s="8">
        <v>46287.0</v>
      </c>
      <c r="L5" s="8">
        <v>46288.0</v>
      </c>
      <c r="M5" s="8">
        <v>46289.0</v>
      </c>
      <c r="N5" s="8">
        <v>46290.0</v>
      </c>
      <c r="O5" s="8">
        <v>46291.0</v>
      </c>
      <c r="P5" s="8">
        <v>46292.0</v>
      </c>
      <c r="Q5" s="8">
        <v>46293.0</v>
      </c>
      <c r="R5" s="8">
        <v>46294.0</v>
      </c>
      <c r="S5" s="8">
        <v>46295.0</v>
      </c>
      <c r="T5" s="8">
        <v>46296.0</v>
      </c>
      <c r="U5" s="8">
        <v>46297.0</v>
      </c>
      <c r="V5" s="8">
        <v>46298.0</v>
      </c>
      <c r="W5" s="8">
        <v>46299.0</v>
      </c>
      <c r="X5" s="8">
        <v>46300.0</v>
      </c>
      <c r="Y5" s="8">
        <v>46301.0</v>
      </c>
      <c r="Z5" s="8">
        <v>46302.0</v>
      </c>
      <c r="AA5" s="8">
        <v>46303.0</v>
      </c>
      <c r="AB5" s="8">
        <v>46304.0</v>
      </c>
      <c r="AC5" s="8">
        <v>46305.0</v>
      </c>
    </row>
    <row r="6">
      <c r="B6" s="14" t="str">
        <f>Schedule!B7</f>
        <v>T-01</v>
      </c>
      <c r="C6" s="19" t="str">
        <f>Schedule!C7</f>
        <v>Initial topic study (aircraft window structure)</v>
      </c>
      <c r="D6" s="14" t="str">
        <f>Schedule!E7</f>
        <v>Completed</v>
      </c>
      <c r="E6" s="23" t="str">
        <f>IF(AND(E$5&gt;=Schedule!$F7,E$5&lt;=Schedule!$G7),"█","")</f>
        <v>█</v>
      </c>
      <c r="F6" s="23" t="str">
        <f>IF(AND(F$5&gt;=Schedule!$F7,F$5&lt;=Schedule!$G7),"█","")</f>
        <v>█</v>
      </c>
      <c r="G6" s="23" t="str">
        <f>IF(AND(G$5&gt;=Schedule!$F7,G$5&lt;=Schedule!$G7),"█","")</f>
        <v>█</v>
      </c>
      <c r="H6" s="23" t="str">
        <f>IF(AND(H$5&gt;=Schedule!$F7,H$5&lt;=Schedule!$G7),"█","")</f>
        <v>█</v>
      </c>
      <c r="I6" s="23" t="str">
        <f>IF(AND(I$5&gt;=Schedule!$F7,I$5&lt;=Schedule!$G7),"█","")</f>
        <v>█</v>
      </c>
      <c r="J6" s="23" t="str">
        <f>IF(AND(J$5&gt;=Schedule!$F7,J$5&lt;=Schedule!$G7),"█","")</f>
        <v>█</v>
      </c>
      <c r="K6" s="23" t="str">
        <f>IF(AND(K$5&gt;=Schedule!$F7,K$5&lt;=Schedule!$G7),"█","")</f>
        <v>█</v>
      </c>
      <c r="L6" s="23" t="str">
        <f>IF(AND(L$5&gt;=Schedule!$F7,L$5&lt;=Schedule!$G7),"█","")</f>
        <v/>
      </c>
      <c r="M6" s="23" t="str">
        <f>IF(AND(M$5&gt;=Schedule!$F7,M$5&lt;=Schedule!$G7),"█","")</f>
        <v/>
      </c>
      <c r="N6" s="23" t="str">
        <f>IF(AND(N$5&gt;=Schedule!$F7,N$5&lt;=Schedule!$G7),"█","")</f>
        <v/>
      </c>
      <c r="O6" s="23" t="str">
        <f>IF(AND(O$5&gt;=Schedule!$F7,O$5&lt;=Schedule!$G7),"█","")</f>
        <v/>
      </c>
      <c r="P6" s="23" t="str">
        <f>IF(AND(P$5&gt;=Schedule!$F7,P$5&lt;=Schedule!$G7),"█","")</f>
        <v/>
      </c>
      <c r="Q6" s="23" t="str">
        <f>IF(AND(Q$5&gt;=Schedule!$F7,Q$5&lt;=Schedule!$G7),"█","")</f>
        <v/>
      </c>
      <c r="R6" s="23" t="str">
        <f>IF(AND(R$5&gt;=Schedule!$F7,R$5&lt;=Schedule!$G7),"█","")</f>
        <v/>
      </c>
      <c r="S6" s="23" t="str">
        <f>IF(AND(S$5&gt;=Schedule!$F7,S$5&lt;=Schedule!$G7),"█","")</f>
        <v/>
      </c>
      <c r="T6" s="23" t="str">
        <f>IF(AND(T$5&gt;=Schedule!$F7,T$5&lt;=Schedule!$G7),"█","")</f>
        <v/>
      </c>
      <c r="U6" s="23" t="str">
        <f>IF(AND(U$5&gt;=Schedule!$F7,U$5&lt;=Schedule!$G7),"█","")</f>
        <v/>
      </c>
      <c r="V6" s="23" t="str">
        <f>IF(AND(V$5&gt;=Schedule!$F7,V$5&lt;=Schedule!$G7),"█","")</f>
        <v/>
      </c>
      <c r="W6" s="23" t="str">
        <f>IF(AND(W$5&gt;=Schedule!$F7,W$5&lt;=Schedule!$G7),"█","")</f>
        <v/>
      </c>
      <c r="X6" s="23" t="str">
        <f>IF(AND(X$5&gt;=Schedule!$F7,X$5&lt;=Schedule!$G7),"█","")</f>
        <v/>
      </c>
      <c r="Y6" s="23" t="str">
        <f>IF(AND(Y$5&gt;=Schedule!$F7,Y$5&lt;=Schedule!$G7),"█","")</f>
        <v/>
      </c>
      <c r="Z6" s="23" t="str">
        <f>IF(AND(Z$5&gt;=Schedule!$F7,Z$5&lt;=Schedule!$G7),"█","")</f>
        <v/>
      </c>
      <c r="AA6" s="23" t="str">
        <f>IF(AND(AA$5&gt;=Schedule!$F7,AA$5&lt;=Schedule!$G7),"█","")</f>
        <v/>
      </c>
      <c r="AB6" s="23" t="str">
        <f>IF(AND(AB$5&gt;=Schedule!$F7,AB$5&lt;=Schedule!$G7),"█","")</f>
        <v/>
      </c>
      <c r="AC6" s="23" t="str">
        <f>IF(AND(AC$5&gt;=Schedule!$F7,AC$5&lt;=Schedule!$G7),"█","")</f>
        <v/>
      </c>
    </row>
    <row r="7">
      <c r="B7" s="14" t="str">
        <f>Schedule!B8</f>
        <v>T-02</v>
      </c>
      <c r="C7" s="19" t="str">
        <f>Schedule!C8</f>
        <v>Topic change to horizontal tailplane; literature review</v>
      </c>
      <c r="D7" s="14" t="str">
        <f>Schedule!E8</f>
        <v>Completed</v>
      </c>
      <c r="E7" s="23" t="str">
        <f>IF(AND(E$5&gt;=Schedule!$F8,E$5&lt;=Schedule!$G8),"█","")</f>
        <v/>
      </c>
      <c r="F7" s="23" t="str">
        <f>IF(AND(F$5&gt;=Schedule!$F8,F$5&lt;=Schedule!$G8),"█","")</f>
        <v/>
      </c>
      <c r="G7" s="23" t="str">
        <f>IF(AND(G$5&gt;=Schedule!$F8,G$5&lt;=Schedule!$G8),"█","")</f>
        <v/>
      </c>
      <c r="H7" s="23" t="str">
        <f>IF(AND(H$5&gt;=Schedule!$F8,H$5&lt;=Schedule!$G8),"█","")</f>
        <v/>
      </c>
      <c r="I7" s="23" t="str">
        <f>IF(AND(I$5&gt;=Schedule!$F8,I$5&lt;=Schedule!$G8),"█","")</f>
        <v/>
      </c>
      <c r="J7" s="23" t="str">
        <f>IF(AND(J$5&gt;=Schedule!$F8,J$5&lt;=Schedule!$G8),"█","")</f>
        <v/>
      </c>
      <c r="K7" s="23" t="str">
        <f>IF(AND(K$5&gt;=Schedule!$F8,K$5&lt;=Schedule!$G8),"█","")</f>
        <v/>
      </c>
      <c r="L7" s="23" t="str">
        <f>IF(AND(L$5&gt;=Schedule!$F8,L$5&lt;=Schedule!$G8),"█","")</f>
        <v>█</v>
      </c>
      <c r="M7" s="23" t="str">
        <f>IF(AND(M$5&gt;=Schedule!$F8,M$5&lt;=Schedule!$G8),"█","")</f>
        <v>█</v>
      </c>
      <c r="N7" s="23" t="str">
        <f>IF(AND(N$5&gt;=Schedule!$F8,N$5&lt;=Schedule!$G8),"█","")</f>
        <v>█</v>
      </c>
      <c r="O7" s="23" t="str">
        <f>IF(AND(O$5&gt;=Schedule!$F8,O$5&lt;=Schedule!$G8),"█","")</f>
        <v/>
      </c>
      <c r="P7" s="23" t="str">
        <f>IF(AND(P$5&gt;=Schedule!$F8,P$5&lt;=Schedule!$G8),"█","")</f>
        <v/>
      </c>
      <c r="Q7" s="23" t="str">
        <f>IF(AND(Q$5&gt;=Schedule!$F8,Q$5&lt;=Schedule!$G8),"█","")</f>
        <v/>
      </c>
      <c r="R7" s="23" t="str">
        <f>IF(AND(R$5&gt;=Schedule!$F8,R$5&lt;=Schedule!$G8),"█","")</f>
        <v/>
      </c>
      <c r="S7" s="23" t="str">
        <f>IF(AND(S$5&gt;=Schedule!$F8,S$5&lt;=Schedule!$G8),"█","")</f>
        <v/>
      </c>
      <c r="T7" s="23" t="str">
        <f>IF(AND(T$5&gt;=Schedule!$F8,T$5&lt;=Schedule!$G8),"█","")</f>
        <v/>
      </c>
      <c r="U7" s="23" t="str">
        <f>IF(AND(U$5&gt;=Schedule!$F8,U$5&lt;=Schedule!$G8),"█","")</f>
        <v/>
      </c>
      <c r="V7" s="23" t="str">
        <f>IF(AND(V$5&gt;=Schedule!$F8,V$5&lt;=Schedule!$G8),"█","")</f>
        <v/>
      </c>
      <c r="W7" s="23" t="str">
        <f>IF(AND(W$5&gt;=Schedule!$F8,W$5&lt;=Schedule!$G8),"█","")</f>
        <v/>
      </c>
      <c r="X7" s="23" t="str">
        <f>IF(AND(X$5&gt;=Schedule!$F8,X$5&lt;=Schedule!$G8),"█","")</f>
        <v/>
      </c>
      <c r="Y7" s="23" t="str">
        <f>IF(AND(Y$5&gt;=Schedule!$F8,Y$5&lt;=Schedule!$G8),"█","")</f>
        <v/>
      </c>
      <c r="Z7" s="23" t="str">
        <f>IF(AND(Z$5&gt;=Schedule!$F8,Z$5&lt;=Schedule!$G8),"█","")</f>
        <v/>
      </c>
      <c r="AA7" s="23" t="str">
        <f>IF(AND(AA$5&gt;=Schedule!$F8,AA$5&lt;=Schedule!$G8),"█","")</f>
        <v/>
      </c>
      <c r="AB7" s="23" t="str">
        <f>IF(AND(AB$5&gt;=Schedule!$F8,AB$5&lt;=Schedule!$G8),"█","")</f>
        <v/>
      </c>
      <c r="AC7" s="23" t="str">
        <f>IF(AND(AC$5&gt;=Schedule!$F8,AC$5&lt;=Schedule!$G8),"█","")</f>
        <v/>
      </c>
    </row>
    <row r="8">
      <c r="B8" s="14" t="str">
        <f>Schedule!B9</f>
        <v>T-03</v>
      </c>
      <c r="C8" s="19" t="str">
        <f>Schedule!C9</f>
        <v>Step 1: Data collection &amp; parameter definition</v>
      </c>
      <c r="D8" s="14" t="str">
        <f>Schedule!E9</f>
        <v>Completed</v>
      </c>
      <c r="E8" s="23" t="str">
        <f>IF(AND(E$5&gt;=Schedule!$F9,E$5&lt;=Schedule!$G9),"█","")</f>
        <v/>
      </c>
      <c r="F8" s="23" t="str">
        <f>IF(AND(F$5&gt;=Schedule!$F9,F$5&lt;=Schedule!$G9),"█","")</f>
        <v/>
      </c>
      <c r="G8" s="23" t="str">
        <f>IF(AND(G$5&gt;=Schedule!$F9,G$5&lt;=Schedule!$G9),"█","")</f>
        <v/>
      </c>
      <c r="H8" s="23" t="str">
        <f>IF(AND(H$5&gt;=Schedule!$F9,H$5&lt;=Schedule!$G9),"█","")</f>
        <v/>
      </c>
      <c r="I8" s="23" t="str">
        <f>IF(AND(I$5&gt;=Schedule!$F9,I$5&lt;=Schedule!$G9),"█","")</f>
        <v/>
      </c>
      <c r="J8" s="23" t="str">
        <f>IF(AND(J$5&gt;=Schedule!$F9,J$5&lt;=Schedule!$G9),"█","")</f>
        <v/>
      </c>
      <c r="K8" s="23" t="str">
        <f>IF(AND(K$5&gt;=Schedule!$F9,K$5&lt;=Schedule!$G9),"█","")</f>
        <v/>
      </c>
      <c r="L8" s="23" t="str">
        <f>IF(AND(L$5&gt;=Schedule!$F9,L$5&lt;=Schedule!$G9),"█","")</f>
        <v/>
      </c>
      <c r="M8" s="23" t="str">
        <f>IF(AND(M$5&gt;=Schedule!$F9,M$5&lt;=Schedule!$G9),"█","")</f>
        <v/>
      </c>
      <c r="N8" s="23" t="str">
        <f>IF(AND(N$5&gt;=Schedule!$F9,N$5&lt;=Schedule!$G9),"█","")</f>
        <v/>
      </c>
      <c r="O8" s="23" t="str">
        <f>IF(AND(O$5&gt;=Schedule!$F9,O$5&lt;=Schedule!$G9),"█","")</f>
        <v>█</v>
      </c>
      <c r="P8" s="23" t="str">
        <f>IF(AND(P$5&gt;=Schedule!$F9,P$5&lt;=Schedule!$G9),"█","")</f>
        <v>█</v>
      </c>
      <c r="Q8" s="23" t="str">
        <f>IF(AND(Q$5&gt;=Schedule!$F9,Q$5&lt;=Schedule!$G9),"█","")</f>
        <v/>
      </c>
      <c r="R8" s="23" t="str">
        <f>IF(AND(R$5&gt;=Schedule!$F9,R$5&lt;=Schedule!$G9),"█","")</f>
        <v/>
      </c>
      <c r="S8" s="23" t="str">
        <f>IF(AND(S$5&gt;=Schedule!$F9,S$5&lt;=Schedule!$G9),"█","")</f>
        <v/>
      </c>
      <c r="T8" s="23" t="str">
        <f>IF(AND(T$5&gt;=Schedule!$F9,T$5&lt;=Schedule!$G9),"█","")</f>
        <v/>
      </c>
      <c r="U8" s="23" t="str">
        <f>IF(AND(U$5&gt;=Schedule!$F9,U$5&lt;=Schedule!$G9),"█","")</f>
        <v/>
      </c>
      <c r="V8" s="23" t="str">
        <f>IF(AND(V$5&gt;=Schedule!$F9,V$5&lt;=Schedule!$G9),"█","")</f>
        <v/>
      </c>
      <c r="W8" s="23" t="str">
        <f>IF(AND(W$5&gt;=Schedule!$F9,W$5&lt;=Schedule!$G9),"█","")</f>
        <v/>
      </c>
      <c r="X8" s="23" t="str">
        <f>IF(AND(X$5&gt;=Schedule!$F9,X$5&lt;=Schedule!$G9),"█","")</f>
        <v/>
      </c>
      <c r="Y8" s="23" t="str">
        <f>IF(AND(Y$5&gt;=Schedule!$F9,Y$5&lt;=Schedule!$G9),"█","")</f>
        <v/>
      </c>
      <c r="Z8" s="23" t="str">
        <f>IF(AND(Z$5&gt;=Schedule!$F9,Z$5&lt;=Schedule!$G9),"█","")</f>
        <v/>
      </c>
      <c r="AA8" s="23" t="str">
        <f>IF(AND(AA$5&gt;=Schedule!$F9,AA$5&lt;=Schedule!$G9),"█","")</f>
        <v/>
      </c>
      <c r="AB8" s="23" t="str">
        <f>IF(AND(AB$5&gt;=Schedule!$F9,AB$5&lt;=Schedule!$G9),"█","")</f>
        <v/>
      </c>
      <c r="AC8" s="23" t="str">
        <f>IF(AND(AC$5&gt;=Schedule!$F9,AC$5&lt;=Schedule!$G9),"█","")</f>
        <v/>
      </c>
    </row>
    <row r="9">
      <c r="B9" s="14" t="str">
        <f>Schedule!B10</f>
        <v>T-04</v>
      </c>
      <c r="C9" s="19" t="str">
        <f>Schedule!C10</f>
        <v>Step 2: Parametric APDL script development</v>
      </c>
      <c r="D9" s="14" t="str">
        <f>Schedule!E10</f>
        <v>In Progress</v>
      </c>
      <c r="E9" s="23" t="str">
        <f>IF(AND(E$5&gt;=Schedule!$F10,E$5&lt;=Schedule!$G10),"█","")</f>
        <v/>
      </c>
      <c r="F9" s="23" t="str">
        <f>IF(AND(F$5&gt;=Schedule!$F10,F$5&lt;=Schedule!$G10),"█","")</f>
        <v/>
      </c>
      <c r="G9" s="23" t="str">
        <f>IF(AND(G$5&gt;=Schedule!$F10,G$5&lt;=Schedule!$G10),"█","")</f>
        <v/>
      </c>
      <c r="H9" s="23" t="str">
        <f>IF(AND(H$5&gt;=Schedule!$F10,H$5&lt;=Schedule!$G10),"█","")</f>
        <v/>
      </c>
      <c r="I9" s="23" t="str">
        <f>IF(AND(I$5&gt;=Schedule!$F10,I$5&lt;=Schedule!$G10),"█","")</f>
        <v/>
      </c>
      <c r="J9" s="23" t="str">
        <f>IF(AND(J$5&gt;=Schedule!$F10,J$5&lt;=Schedule!$G10),"█","")</f>
        <v/>
      </c>
      <c r="K9" s="23" t="str">
        <f>IF(AND(K$5&gt;=Schedule!$F10,K$5&lt;=Schedule!$G10),"█","")</f>
        <v/>
      </c>
      <c r="L9" s="23" t="str">
        <f>IF(AND(L$5&gt;=Schedule!$F10,L$5&lt;=Schedule!$G10),"█","")</f>
        <v/>
      </c>
      <c r="M9" s="23" t="str">
        <f>IF(AND(M$5&gt;=Schedule!$F10,M$5&lt;=Schedule!$G10),"█","")</f>
        <v/>
      </c>
      <c r="N9" s="23" t="str">
        <f>IF(AND(N$5&gt;=Schedule!$F10,N$5&lt;=Schedule!$G10),"█","")</f>
        <v/>
      </c>
      <c r="O9" s="23" t="str">
        <f>IF(AND(O$5&gt;=Schedule!$F10,O$5&lt;=Schedule!$G10),"█","")</f>
        <v/>
      </c>
      <c r="P9" s="23" t="str">
        <f>IF(AND(P$5&gt;=Schedule!$F10,P$5&lt;=Schedule!$G10),"█","")</f>
        <v/>
      </c>
      <c r="Q9" s="23" t="str">
        <f>IF(AND(Q$5&gt;=Schedule!$F10,Q$5&lt;=Schedule!$G10),"█","")</f>
        <v>█</v>
      </c>
      <c r="R9" s="23" t="str">
        <f>IF(AND(R$5&gt;=Schedule!$F10,R$5&lt;=Schedule!$G10),"█","")</f>
        <v>█</v>
      </c>
      <c r="S9" s="23" t="str">
        <f>IF(AND(S$5&gt;=Schedule!$F10,S$5&lt;=Schedule!$G10),"█","")</f>
        <v>█</v>
      </c>
      <c r="T9" s="23" t="str">
        <f>IF(AND(T$5&gt;=Schedule!$F10,T$5&lt;=Schedule!$G10),"█","")</f>
        <v/>
      </c>
      <c r="U9" s="23" t="str">
        <f>IF(AND(U$5&gt;=Schedule!$F10,U$5&lt;=Schedule!$G10),"█","")</f>
        <v/>
      </c>
      <c r="V9" s="23" t="str">
        <f>IF(AND(V$5&gt;=Schedule!$F10,V$5&lt;=Schedule!$G10),"█","")</f>
        <v/>
      </c>
      <c r="W9" s="23" t="str">
        <f>IF(AND(W$5&gt;=Schedule!$F10,W$5&lt;=Schedule!$G10),"█","")</f>
        <v/>
      </c>
      <c r="X9" s="23" t="str">
        <f>IF(AND(X$5&gt;=Schedule!$F10,X$5&lt;=Schedule!$G10),"█","")</f>
        <v/>
      </c>
      <c r="Y9" s="23" t="str">
        <f>IF(AND(Y$5&gt;=Schedule!$F10,Y$5&lt;=Schedule!$G10),"█","")</f>
        <v/>
      </c>
      <c r="Z9" s="23" t="str">
        <f>IF(AND(Z$5&gt;=Schedule!$F10,Z$5&lt;=Schedule!$G10),"█","")</f>
        <v/>
      </c>
      <c r="AA9" s="23" t="str">
        <f>IF(AND(AA$5&gt;=Schedule!$F10,AA$5&lt;=Schedule!$G10),"█","")</f>
        <v/>
      </c>
      <c r="AB9" s="23" t="str">
        <f>IF(AND(AB$5&gt;=Schedule!$F10,AB$5&lt;=Schedule!$G10),"█","")</f>
        <v/>
      </c>
      <c r="AC9" s="23" t="str">
        <f>IF(AND(AC$5&gt;=Schedule!$F10,AC$5&lt;=Schedule!$G10),"█","")</f>
        <v/>
      </c>
    </row>
    <row r="10">
      <c r="B10" s="14" t="str">
        <f>Schedule!B11</f>
        <v>T-05</v>
      </c>
      <c r="C10" s="19" t="str">
        <f>Schedule!C11</f>
        <v>Proposal presentation for project approval</v>
      </c>
      <c r="D10" s="14" t="str">
        <f>Schedule!E11</f>
        <v>Pending</v>
      </c>
      <c r="E10" s="23" t="str">
        <f>IF(AND(E$5&gt;=Schedule!$F11,E$5&lt;=Schedule!$G11),"◆","")</f>
        <v/>
      </c>
      <c r="F10" s="23" t="str">
        <f>IF(AND(F$5&gt;=Schedule!$F11,F$5&lt;=Schedule!$G11),"◆","")</f>
        <v/>
      </c>
      <c r="G10" s="23" t="str">
        <f>IF(AND(G$5&gt;=Schedule!$F11,G$5&lt;=Schedule!$G11),"◆","")</f>
        <v/>
      </c>
      <c r="H10" s="23" t="str">
        <f>IF(AND(H$5&gt;=Schedule!$F11,H$5&lt;=Schedule!$G11),"◆","")</f>
        <v/>
      </c>
      <c r="I10" s="23" t="str">
        <f>IF(AND(I$5&gt;=Schedule!$F11,I$5&lt;=Schedule!$G11),"◆","")</f>
        <v/>
      </c>
      <c r="J10" s="23" t="str">
        <f>IF(AND(J$5&gt;=Schedule!$F11,J$5&lt;=Schedule!$G11),"◆","")</f>
        <v/>
      </c>
      <c r="K10" s="23" t="str">
        <f>IF(AND(K$5&gt;=Schedule!$F11,K$5&lt;=Schedule!$G11),"◆","")</f>
        <v/>
      </c>
      <c r="L10" s="23" t="str">
        <f>IF(AND(L$5&gt;=Schedule!$F11,L$5&lt;=Schedule!$G11),"◆","")</f>
        <v/>
      </c>
      <c r="M10" s="23" t="str">
        <f>IF(AND(M$5&gt;=Schedule!$F11,M$5&lt;=Schedule!$G11),"◆","")</f>
        <v/>
      </c>
      <c r="N10" s="23" t="str">
        <f>IF(AND(N$5&gt;=Schedule!$F11,N$5&lt;=Schedule!$G11),"◆","")</f>
        <v/>
      </c>
      <c r="O10" s="23" t="str">
        <f>IF(AND(O$5&gt;=Schedule!$F11,O$5&lt;=Schedule!$G11),"◆","")</f>
        <v/>
      </c>
      <c r="P10" s="23" t="str">
        <f>IF(AND(P$5&gt;=Schedule!$F11,P$5&lt;=Schedule!$G11),"◆","")</f>
        <v/>
      </c>
      <c r="Q10" s="23" t="str">
        <f>IF(AND(Q$5&gt;=Schedule!$F11,Q$5&lt;=Schedule!$G11),"◆","")</f>
        <v/>
      </c>
      <c r="R10" s="23" t="str">
        <f>IF(AND(R$5&gt;=Schedule!$F11,R$5&lt;=Schedule!$G11),"◆","")</f>
        <v/>
      </c>
      <c r="S10" s="23" t="str">
        <f>IF(AND(S$5&gt;=Schedule!$F11,S$5&lt;=Schedule!$G11),"◆","")</f>
        <v>◆</v>
      </c>
      <c r="T10" s="23" t="str">
        <f>IF(AND(T$5&gt;=Schedule!$F11,T$5&lt;=Schedule!$G11),"◆","")</f>
        <v/>
      </c>
      <c r="U10" s="23" t="str">
        <f>IF(AND(U$5&gt;=Schedule!$F11,U$5&lt;=Schedule!$G11),"◆","")</f>
        <v/>
      </c>
      <c r="V10" s="23" t="str">
        <f>IF(AND(V$5&gt;=Schedule!$F11,V$5&lt;=Schedule!$G11),"◆","")</f>
        <v/>
      </c>
      <c r="W10" s="23" t="str">
        <f>IF(AND(W$5&gt;=Schedule!$F11,W$5&lt;=Schedule!$G11),"◆","")</f>
        <v/>
      </c>
      <c r="X10" s="23" t="str">
        <f>IF(AND(X$5&gt;=Schedule!$F11,X$5&lt;=Schedule!$G11),"◆","")</f>
        <v/>
      </c>
      <c r="Y10" s="23" t="str">
        <f>IF(AND(Y$5&gt;=Schedule!$F11,Y$5&lt;=Schedule!$G11),"◆","")</f>
        <v/>
      </c>
      <c r="Z10" s="23" t="str">
        <f>IF(AND(Z$5&gt;=Schedule!$F11,Z$5&lt;=Schedule!$G11),"◆","")</f>
        <v/>
      </c>
      <c r="AA10" s="23" t="str">
        <f>IF(AND(AA$5&gt;=Schedule!$F11,AA$5&lt;=Schedule!$G11),"◆","")</f>
        <v/>
      </c>
      <c r="AB10" s="23" t="str">
        <f>IF(AND(AB$5&gt;=Schedule!$F11,AB$5&lt;=Schedule!$G11),"◆","")</f>
        <v/>
      </c>
      <c r="AC10" s="23" t="str">
        <f>IF(AND(AC$5&gt;=Schedule!$F11,AC$5&lt;=Schedule!$G11),"◆","")</f>
        <v/>
      </c>
    </row>
    <row r="11">
      <c r="B11" s="14" t="str">
        <f>Schedule!B12</f>
        <v>T-06</v>
      </c>
      <c r="C11" s="19" t="str">
        <f>Schedule!C12</f>
        <v>Step 3: SFBM load pre-processing (MATLAB)</v>
      </c>
      <c r="D11" s="14" t="str">
        <f>Schedule!E12</f>
        <v>Pending</v>
      </c>
      <c r="E11" s="23" t="str">
        <f>IF(AND(E$5&gt;=Schedule!$F12,E$5&lt;=Schedule!$G12),"█","")</f>
        <v/>
      </c>
      <c r="F11" s="23" t="str">
        <f>IF(AND(F$5&gt;=Schedule!$F12,F$5&lt;=Schedule!$G12),"█","")</f>
        <v/>
      </c>
      <c r="G11" s="23" t="str">
        <f>IF(AND(G$5&gt;=Schedule!$F12,G$5&lt;=Schedule!$G12),"█","")</f>
        <v/>
      </c>
      <c r="H11" s="23" t="str">
        <f>IF(AND(H$5&gt;=Schedule!$F12,H$5&lt;=Schedule!$G12),"█","")</f>
        <v/>
      </c>
      <c r="I11" s="23" t="str">
        <f>IF(AND(I$5&gt;=Schedule!$F12,I$5&lt;=Schedule!$G12),"█","")</f>
        <v/>
      </c>
      <c r="J11" s="23" t="str">
        <f>IF(AND(J$5&gt;=Schedule!$F12,J$5&lt;=Schedule!$G12),"█","")</f>
        <v/>
      </c>
      <c r="K11" s="23" t="str">
        <f>IF(AND(K$5&gt;=Schedule!$F12,K$5&lt;=Schedule!$G12),"█","")</f>
        <v/>
      </c>
      <c r="L11" s="23" t="str">
        <f>IF(AND(L$5&gt;=Schedule!$F12,L$5&lt;=Schedule!$G12),"█","")</f>
        <v/>
      </c>
      <c r="M11" s="23" t="str">
        <f>IF(AND(M$5&gt;=Schedule!$F12,M$5&lt;=Schedule!$G12),"█","")</f>
        <v/>
      </c>
      <c r="N11" s="23" t="str">
        <f>IF(AND(N$5&gt;=Schedule!$F12,N$5&lt;=Schedule!$G12),"█","")</f>
        <v/>
      </c>
      <c r="O11" s="23" t="str">
        <f>IF(AND(O$5&gt;=Schedule!$F12,O$5&lt;=Schedule!$G12),"█","")</f>
        <v/>
      </c>
      <c r="P11" s="23" t="str">
        <f>IF(AND(P$5&gt;=Schedule!$F12,P$5&lt;=Schedule!$G12),"█","")</f>
        <v/>
      </c>
      <c r="Q11" s="23" t="str">
        <f>IF(AND(Q$5&gt;=Schedule!$F12,Q$5&lt;=Schedule!$G12),"█","")</f>
        <v/>
      </c>
      <c r="R11" s="23" t="str">
        <f>IF(AND(R$5&gt;=Schedule!$F12,R$5&lt;=Schedule!$G12),"█","")</f>
        <v/>
      </c>
      <c r="S11" s="23" t="str">
        <f>IF(AND(S$5&gt;=Schedule!$F12,S$5&lt;=Schedule!$G12),"█","")</f>
        <v/>
      </c>
      <c r="T11" s="23" t="str">
        <f>IF(AND(T$5&gt;=Schedule!$F12,T$5&lt;=Schedule!$G12),"█","")</f>
        <v>█</v>
      </c>
      <c r="U11" s="23" t="str">
        <f>IF(AND(U$5&gt;=Schedule!$F12,U$5&lt;=Schedule!$G12),"█","")</f>
        <v>█</v>
      </c>
      <c r="V11" s="23" t="str">
        <f>IF(AND(V$5&gt;=Schedule!$F12,V$5&lt;=Schedule!$G12),"█","")</f>
        <v/>
      </c>
      <c r="W11" s="23" t="str">
        <f>IF(AND(W$5&gt;=Schedule!$F12,W$5&lt;=Schedule!$G12),"█","")</f>
        <v/>
      </c>
      <c r="X11" s="23" t="str">
        <f>IF(AND(X$5&gt;=Schedule!$F12,X$5&lt;=Schedule!$G12),"█","")</f>
        <v/>
      </c>
      <c r="Y11" s="23" t="str">
        <f>IF(AND(Y$5&gt;=Schedule!$F12,Y$5&lt;=Schedule!$G12),"█","")</f>
        <v/>
      </c>
      <c r="Z11" s="23" t="str">
        <f>IF(AND(Z$5&gt;=Schedule!$F12,Z$5&lt;=Schedule!$G12),"█","")</f>
        <v/>
      </c>
      <c r="AA11" s="23" t="str">
        <f>IF(AND(AA$5&gt;=Schedule!$F12,AA$5&lt;=Schedule!$G12),"█","")</f>
        <v/>
      </c>
      <c r="AB11" s="23" t="str">
        <f>IF(AND(AB$5&gt;=Schedule!$F12,AB$5&lt;=Schedule!$G12),"█","")</f>
        <v/>
      </c>
      <c r="AC11" s="23" t="str">
        <f>IF(AND(AC$5&gt;=Schedule!$F12,AC$5&lt;=Schedule!$G12),"█","")</f>
        <v/>
      </c>
    </row>
    <row r="12">
      <c r="B12" s="14" t="str">
        <f>Schedule!B13</f>
        <v>T-07</v>
      </c>
      <c r="C12" s="19" t="str">
        <f>Schedule!C13</f>
        <v>Step 4: Configuration setup &amp; Step 5: Model verification</v>
      </c>
      <c r="D12" s="14" t="str">
        <f>Schedule!E13</f>
        <v>Pending</v>
      </c>
      <c r="E12" s="23" t="str">
        <f>IF(AND(E$5&gt;=Schedule!$F13,E$5&lt;=Schedule!$G13),"█","")</f>
        <v/>
      </c>
      <c r="F12" s="23" t="str">
        <f>IF(AND(F$5&gt;=Schedule!$F13,F$5&lt;=Schedule!$G13),"█","")</f>
        <v/>
      </c>
      <c r="G12" s="23" t="str">
        <f>IF(AND(G$5&gt;=Schedule!$F13,G$5&lt;=Schedule!$G13),"█","")</f>
        <v/>
      </c>
      <c r="H12" s="23" t="str">
        <f>IF(AND(H$5&gt;=Schedule!$F13,H$5&lt;=Schedule!$G13),"█","")</f>
        <v/>
      </c>
      <c r="I12" s="23" t="str">
        <f>IF(AND(I$5&gt;=Schedule!$F13,I$5&lt;=Schedule!$G13),"█","")</f>
        <v/>
      </c>
      <c r="J12" s="23" t="str">
        <f>IF(AND(J$5&gt;=Schedule!$F13,J$5&lt;=Schedule!$G13),"█","")</f>
        <v/>
      </c>
      <c r="K12" s="23" t="str">
        <f>IF(AND(K$5&gt;=Schedule!$F13,K$5&lt;=Schedule!$G13),"█","")</f>
        <v/>
      </c>
      <c r="L12" s="23" t="str">
        <f>IF(AND(L$5&gt;=Schedule!$F13,L$5&lt;=Schedule!$G13),"█","")</f>
        <v/>
      </c>
      <c r="M12" s="23" t="str">
        <f>IF(AND(M$5&gt;=Schedule!$F13,M$5&lt;=Schedule!$G13),"█","")</f>
        <v/>
      </c>
      <c r="N12" s="23" t="str">
        <f>IF(AND(N$5&gt;=Schedule!$F13,N$5&lt;=Schedule!$G13),"█","")</f>
        <v/>
      </c>
      <c r="O12" s="23" t="str">
        <f>IF(AND(O$5&gt;=Schedule!$F13,O$5&lt;=Schedule!$G13),"█","")</f>
        <v/>
      </c>
      <c r="P12" s="23" t="str">
        <f>IF(AND(P$5&gt;=Schedule!$F13,P$5&lt;=Schedule!$G13),"█","")</f>
        <v/>
      </c>
      <c r="Q12" s="23" t="str">
        <f>IF(AND(Q$5&gt;=Schedule!$F13,Q$5&lt;=Schedule!$G13),"█","")</f>
        <v/>
      </c>
      <c r="R12" s="23" t="str">
        <f>IF(AND(R$5&gt;=Schedule!$F13,R$5&lt;=Schedule!$G13),"█","")</f>
        <v/>
      </c>
      <c r="S12" s="23" t="str">
        <f>IF(AND(S$5&gt;=Schedule!$F13,S$5&lt;=Schedule!$G13),"█","")</f>
        <v/>
      </c>
      <c r="T12" s="23" t="str">
        <f>IF(AND(T$5&gt;=Schedule!$F13,T$5&lt;=Schedule!$G13),"█","")</f>
        <v/>
      </c>
      <c r="U12" s="23" t="str">
        <f>IF(AND(U$5&gt;=Schedule!$F13,U$5&lt;=Schedule!$G13),"█","")</f>
        <v/>
      </c>
      <c r="V12" s="23" t="str">
        <f>IF(AND(V$5&gt;=Schedule!$F13,V$5&lt;=Schedule!$G13),"█","")</f>
        <v>█</v>
      </c>
      <c r="W12" s="23" t="str">
        <f>IF(AND(W$5&gt;=Schedule!$F13,W$5&lt;=Schedule!$G13),"█","")</f>
        <v>█</v>
      </c>
      <c r="X12" s="23" t="str">
        <f>IF(AND(X$5&gt;=Schedule!$F13,X$5&lt;=Schedule!$G13),"█","")</f>
        <v/>
      </c>
      <c r="Y12" s="23" t="str">
        <f>IF(AND(Y$5&gt;=Schedule!$F13,Y$5&lt;=Schedule!$G13),"█","")</f>
        <v/>
      </c>
      <c r="Z12" s="23" t="str">
        <f>IF(AND(Z$5&gt;=Schedule!$F13,Z$5&lt;=Schedule!$G13),"█","")</f>
        <v/>
      </c>
      <c r="AA12" s="23" t="str">
        <f>IF(AND(AA$5&gt;=Schedule!$F13,AA$5&lt;=Schedule!$G13),"█","")</f>
        <v/>
      </c>
      <c r="AB12" s="23" t="str">
        <f>IF(AND(AB$5&gt;=Schedule!$F13,AB$5&lt;=Schedule!$G13),"█","")</f>
        <v/>
      </c>
      <c r="AC12" s="23" t="str">
        <f>IF(AND(AC$5&gt;=Schedule!$F13,AC$5&lt;=Schedule!$G13),"█","")</f>
        <v/>
      </c>
    </row>
    <row r="13">
      <c r="B13" s="14" t="str">
        <f>Schedule!B14</f>
        <v>T-08</v>
      </c>
      <c r="C13" s="19" t="str">
        <f>Schedule!C14</f>
        <v>Step 6: Static analysis &amp; Step 7: Baseline validation</v>
      </c>
      <c r="D13" s="14" t="str">
        <f>Schedule!E14</f>
        <v>Pending</v>
      </c>
      <c r="E13" s="23" t="str">
        <f>IF(AND(E$5&gt;=Schedule!$F14,E$5&lt;=Schedule!$G14),"█","")</f>
        <v/>
      </c>
      <c r="F13" s="23" t="str">
        <f>IF(AND(F$5&gt;=Schedule!$F14,F$5&lt;=Schedule!$G14),"█","")</f>
        <v/>
      </c>
      <c r="G13" s="23" t="str">
        <f>IF(AND(G$5&gt;=Schedule!$F14,G$5&lt;=Schedule!$G14),"█","")</f>
        <v/>
      </c>
      <c r="H13" s="23" t="str">
        <f>IF(AND(H$5&gt;=Schedule!$F14,H$5&lt;=Schedule!$G14),"█","")</f>
        <v/>
      </c>
      <c r="I13" s="23" t="str">
        <f>IF(AND(I$5&gt;=Schedule!$F14,I$5&lt;=Schedule!$G14),"█","")</f>
        <v/>
      </c>
      <c r="J13" s="23" t="str">
        <f>IF(AND(J$5&gt;=Schedule!$F14,J$5&lt;=Schedule!$G14),"█","")</f>
        <v/>
      </c>
      <c r="K13" s="23" t="str">
        <f>IF(AND(K$5&gt;=Schedule!$F14,K$5&lt;=Schedule!$G14),"█","")</f>
        <v/>
      </c>
      <c r="L13" s="23" t="str">
        <f>IF(AND(L$5&gt;=Schedule!$F14,L$5&lt;=Schedule!$G14),"█","")</f>
        <v/>
      </c>
      <c r="M13" s="23" t="str">
        <f>IF(AND(M$5&gt;=Schedule!$F14,M$5&lt;=Schedule!$G14),"█","")</f>
        <v/>
      </c>
      <c r="N13" s="23" t="str">
        <f>IF(AND(N$5&gt;=Schedule!$F14,N$5&lt;=Schedule!$G14),"█","")</f>
        <v/>
      </c>
      <c r="O13" s="23" t="str">
        <f>IF(AND(O$5&gt;=Schedule!$F14,O$5&lt;=Schedule!$G14),"█","")</f>
        <v/>
      </c>
      <c r="P13" s="23" t="str">
        <f>IF(AND(P$5&gt;=Schedule!$F14,P$5&lt;=Schedule!$G14),"█","")</f>
        <v/>
      </c>
      <c r="Q13" s="23" t="str">
        <f>IF(AND(Q$5&gt;=Schedule!$F14,Q$5&lt;=Schedule!$G14),"█","")</f>
        <v/>
      </c>
      <c r="R13" s="23" t="str">
        <f>IF(AND(R$5&gt;=Schedule!$F14,R$5&lt;=Schedule!$G14),"█","")</f>
        <v/>
      </c>
      <c r="S13" s="23" t="str">
        <f>IF(AND(S$5&gt;=Schedule!$F14,S$5&lt;=Schedule!$G14),"█","")</f>
        <v/>
      </c>
      <c r="T13" s="23" t="str">
        <f>IF(AND(T$5&gt;=Schedule!$F14,T$5&lt;=Schedule!$G14),"█","")</f>
        <v/>
      </c>
      <c r="U13" s="23" t="str">
        <f>IF(AND(U$5&gt;=Schedule!$F14,U$5&lt;=Schedule!$G14),"█","")</f>
        <v/>
      </c>
      <c r="V13" s="23" t="str">
        <f>IF(AND(V$5&gt;=Schedule!$F14,V$5&lt;=Schedule!$G14),"█","")</f>
        <v/>
      </c>
      <c r="W13" s="23" t="str">
        <f>IF(AND(W$5&gt;=Schedule!$F14,W$5&lt;=Schedule!$G14),"█","")</f>
        <v/>
      </c>
      <c r="X13" s="23" t="str">
        <f>IF(AND(X$5&gt;=Schedule!$F14,X$5&lt;=Schedule!$G14),"█","")</f>
        <v>█</v>
      </c>
      <c r="Y13" s="23" t="str">
        <f>IF(AND(Y$5&gt;=Schedule!$F14,Y$5&lt;=Schedule!$G14),"█","")</f>
        <v>█</v>
      </c>
      <c r="Z13" s="23" t="str">
        <f>IF(AND(Z$5&gt;=Schedule!$F14,Z$5&lt;=Schedule!$G14),"█","")</f>
        <v/>
      </c>
      <c r="AA13" s="23" t="str">
        <f>IF(AND(AA$5&gt;=Schedule!$F14,AA$5&lt;=Schedule!$G14),"█","")</f>
        <v/>
      </c>
      <c r="AB13" s="23" t="str">
        <f>IF(AND(AB$5&gt;=Schedule!$F14,AB$5&lt;=Schedule!$G14),"█","")</f>
        <v/>
      </c>
      <c r="AC13" s="23" t="str">
        <f>IF(AND(AC$5&gt;=Schedule!$F14,AC$5&lt;=Schedule!$G14),"█","")</f>
        <v/>
      </c>
    </row>
    <row r="14">
      <c r="B14" s="14" t="str">
        <f>Schedule!B15</f>
        <v>T-09</v>
      </c>
      <c r="C14" s="19" t="str">
        <f>Schedule!C15</f>
        <v>Step 8: Evaluation &amp; comparison (Config A, B, C)</v>
      </c>
      <c r="D14" s="14" t="str">
        <f>Schedule!E15</f>
        <v>Pending</v>
      </c>
      <c r="E14" s="23" t="str">
        <f>IF(AND(E$5&gt;=Schedule!$F15,E$5&lt;=Schedule!$G15),"█","")</f>
        <v/>
      </c>
      <c r="F14" s="23" t="str">
        <f>IF(AND(F$5&gt;=Schedule!$F15,F$5&lt;=Schedule!$G15),"█","")</f>
        <v/>
      </c>
      <c r="G14" s="23" t="str">
        <f>IF(AND(G$5&gt;=Schedule!$F15,G$5&lt;=Schedule!$G15),"█","")</f>
        <v/>
      </c>
      <c r="H14" s="23" t="str">
        <f>IF(AND(H$5&gt;=Schedule!$F15,H$5&lt;=Schedule!$G15),"█","")</f>
        <v/>
      </c>
      <c r="I14" s="23" t="str">
        <f>IF(AND(I$5&gt;=Schedule!$F15,I$5&lt;=Schedule!$G15),"█","")</f>
        <v/>
      </c>
      <c r="J14" s="23" t="str">
        <f>IF(AND(J$5&gt;=Schedule!$F15,J$5&lt;=Schedule!$G15),"█","")</f>
        <v/>
      </c>
      <c r="K14" s="23" t="str">
        <f>IF(AND(K$5&gt;=Schedule!$F15,K$5&lt;=Schedule!$G15),"█","")</f>
        <v/>
      </c>
      <c r="L14" s="23" t="str">
        <f>IF(AND(L$5&gt;=Schedule!$F15,L$5&lt;=Schedule!$G15),"█","")</f>
        <v/>
      </c>
      <c r="M14" s="23" t="str">
        <f>IF(AND(M$5&gt;=Schedule!$F15,M$5&lt;=Schedule!$G15),"█","")</f>
        <v/>
      </c>
      <c r="N14" s="23" t="str">
        <f>IF(AND(N$5&gt;=Schedule!$F15,N$5&lt;=Schedule!$G15),"█","")</f>
        <v/>
      </c>
      <c r="O14" s="23" t="str">
        <f>IF(AND(O$5&gt;=Schedule!$F15,O$5&lt;=Schedule!$G15),"█","")</f>
        <v/>
      </c>
      <c r="P14" s="23" t="str">
        <f>IF(AND(P$5&gt;=Schedule!$F15,P$5&lt;=Schedule!$G15),"█","")</f>
        <v/>
      </c>
      <c r="Q14" s="23" t="str">
        <f>IF(AND(Q$5&gt;=Schedule!$F15,Q$5&lt;=Schedule!$G15),"█","")</f>
        <v/>
      </c>
      <c r="R14" s="23" t="str">
        <f>IF(AND(R$5&gt;=Schedule!$F15,R$5&lt;=Schedule!$G15),"█","")</f>
        <v/>
      </c>
      <c r="S14" s="23" t="str">
        <f>IF(AND(S$5&gt;=Schedule!$F15,S$5&lt;=Schedule!$G15),"█","")</f>
        <v/>
      </c>
      <c r="T14" s="23" t="str">
        <f>IF(AND(T$5&gt;=Schedule!$F15,T$5&lt;=Schedule!$G15),"█","")</f>
        <v/>
      </c>
      <c r="U14" s="23" t="str">
        <f>IF(AND(U$5&gt;=Schedule!$F15,U$5&lt;=Schedule!$G15),"█","")</f>
        <v/>
      </c>
      <c r="V14" s="23" t="str">
        <f>IF(AND(V$5&gt;=Schedule!$F15,V$5&lt;=Schedule!$G15),"█","")</f>
        <v/>
      </c>
      <c r="W14" s="23" t="str">
        <f>IF(AND(W$5&gt;=Schedule!$F15,W$5&lt;=Schedule!$G15),"█","")</f>
        <v/>
      </c>
      <c r="X14" s="23" t="str">
        <f>IF(AND(X$5&gt;=Schedule!$F15,X$5&lt;=Schedule!$G15),"█","")</f>
        <v/>
      </c>
      <c r="Y14" s="23" t="str">
        <f>IF(AND(Y$5&gt;=Schedule!$F15,Y$5&lt;=Schedule!$G15),"█","")</f>
        <v/>
      </c>
      <c r="Z14" s="23" t="str">
        <f>IF(AND(Z$5&gt;=Schedule!$F15,Z$5&lt;=Schedule!$G15),"█","")</f>
        <v>█</v>
      </c>
      <c r="AA14" s="23" t="str">
        <f>IF(AND(AA$5&gt;=Schedule!$F15,AA$5&lt;=Schedule!$G15),"█","")</f>
        <v>█</v>
      </c>
      <c r="AB14" s="23" t="str">
        <f>IF(AND(AB$5&gt;=Schedule!$F15,AB$5&lt;=Schedule!$G15),"█","")</f>
        <v/>
      </c>
      <c r="AC14" s="23" t="str">
        <f>IF(AND(AC$5&gt;=Schedule!$F15,AC$5&lt;=Schedule!$G15),"█","")</f>
        <v/>
      </c>
    </row>
    <row r="15">
      <c r="B15" s="14" t="str">
        <f>Schedule!B16</f>
        <v>T-10</v>
      </c>
      <c r="C15" s="19" t="str">
        <f>Schedule!C16</f>
        <v>Step 9: Final Report preparation</v>
      </c>
      <c r="D15" s="14" t="str">
        <f>Schedule!E16</f>
        <v>Pending</v>
      </c>
      <c r="E15" s="23" t="str">
        <f>IF(AND(E$5&gt;=Schedule!$F16,E$5&lt;=Schedule!$G16),"█","")</f>
        <v/>
      </c>
      <c r="F15" s="23" t="str">
        <f>IF(AND(F$5&gt;=Schedule!$F16,F$5&lt;=Schedule!$G16),"█","")</f>
        <v/>
      </c>
      <c r="G15" s="23" t="str">
        <f>IF(AND(G$5&gt;=Schedule!$F16,G$5&lt;=Schedule!$G16),"█","")</f>
        <v/>
      </c>
      <c r="H15" s="23" t="str">
        <f>IF(AND(H$5&gt;=Schedule!$F16,H$5&lt;=Schedule!$G16),"█","")</f>
        <v/>
      </c>
      <c r="I15" s="23" t="str">
        <f>IF(AND(I$5&gt;=Schedule!$F16,I$5&lt;=Schedule!$G16),"█","")</f>
        <v/>
      </c>
      <c r="J15" s="23" t="str">
        <f>IF(AND(J$5&gt;=Schedule!$F16,J$5&lt;=Schedule!$G16),"█","")</f>
        <v/>
      </c>
      <c r="K15" s="23" t="str">
        <f>IF(AND(K$5&gt;=Schedule!$F16,K$5&lt;=Schedule!$G16),"█","")</f>
        <v/>
      </c>
      <c r="L15" s="23" t="str">
        <f>IF(AND(L$5&gt;=Schedule!$F16,L$5&lt;=Schedule!$G16),"█","")</f>
        <v/>
      </c>
      <c r="M15" s="23" t="str">
        <f>IF(AND(M$5&gt;=Schedule!$F16,M$5&lt;=Schedule!$G16),"█","")</f>
        <v/>
      </c>
      <c r="N15" s="23" t="str">
        <f>IF(AND(N$5&gt;=Schedule!$F16,N$5&lt;=Schedule!$G16),"█","")</f>
        <v/>
      </c>
      <c r="O15" s="23" t="str">
        <f>IF(AND(O$5&gt;=Schedule!$F16,O$5&lt;=Schedule!$G16),"█","")</f>
        <v/>
      </c>
      <c r="P15" s="23" t="str">
        <f>IF(AND(P$5&gt;=Schedule!$F16,P$5&lt;=Schedule!$G16),"█","")</f>
        <v/>
      </c>
      <c r="Q15" s="23" t="str">
        <f>IF(AND(Q$5&gt;=Schedule!$F16,Q$5&lt;=Schedule!$G16),"█","")</f>
        <v/>
      </c>
      <c r="R15" s="23" t="str">
        <f>IF(AND(R$5&gt;=Schedule!$F16,R$5&lt;=Schedule!$G16),"█","")</f>
        <v/>
      </c>
      <c r="S15" s="23" t="str">
        <f>IF(AND(S$5&gt;=Schedule!$F16,S$5&lt;=Schedule!$G16),"█","")</f>
        <v/>
      </c>
      <c r="T15" s="23" t="str">
        <f>IF(AND(T$5&gt;=Schedule!$F16,T$5&lt;=Schedule!$G16),"█","")</f>
        <v/>
      </c>
      <c r="U15" s="23" t="str">
        <f>IF(AND(U$5&gt;=Schedule!$F16,U$5&lt;=Schedule!$G16),"█","")</f>
        <v/>
      </c>
      <c r="V15" s="23" t="str">
        <f>IF(AND(V$5&gt;=Schedule!$F16,V$5&lt;=Schedule!$G16),"█","")</f>
        <v/>
      </c>
      <c r="W15" s="23" t="str">
        <f>IF(AND(W$5&gt;=Schedule!$F16,W$5&lt;=Schedule!$G16),"█","")</f>
        <v/>
      </c>
      <c r="X15" s="23" t="str">
        <f>IF(AND(X$5&gt;=Schedule!$F16,X$5&lt;=Schedule!$G16),"█","")</f>
        <v/>
      </c>
      <c r="Y15" s="23" t="str">
        <f>IF(AND(Y$5&gt;=Schedule!$F16,Y$5&lt;=Schedule!$G16),"█","")</f>
        <v/>
      </c>
      <c r="Z15" s="23" t="str">
        <f>IF(AND(Z$5&gt;=Schedule!$F16,Z$5&lt;=Schedule!$G16),"█","")</f>
        <v/>
      </c>
      <c r="AA15" s="23" t="str">
        <f>IF(AND(AA$5&gt;=Schedule!$F16,AA$5&lt;=Schedule!$G16),"█","")</f>
        <v/>
      </c>
      <c r="AB15" s="23" t="str">
        <f>IF(AND(AB$5&gt;=Schedule!$F16,AB$5&lt;=Schedule!$G16),"█","")</f>
        <v>█</v>
      </c>
      <c r="AC15" s="23" t="str">
        <f>IF(AND(AC$5&gt;=Schedule!$F16,AC$5&lt;=Schedule!$G16),"█","")</f>
        <v>█</v>
      </c>
    </row>
  </sheetData>
  <mergeCells count="2">
    <mergeCell ref="B2:C2"/>
    <mergeCell ref="B3:C3"/>
  </mergeCells>
  <conditionalFormatting sqref="D6:D15">
    <cfRule type="cellIs" dxfId="3" priority="1" stopIfTrue="1" operator="equal">
      <formula>"Completed"</formula>
    </cfRule>
  </conditionalFormatting>
  <conditionalFormatting sqref="D6:D15">
    <cfRule type="cellIs" dxfId="4" priority="2" stopIfTrue="1" operator="equal">
      <formula>"In Progress"</formula>
    </cfRule>
  </conditionalFormatting>
  <conditionalFormatting sqref="D6:D15">
    <cfRule type="cellIs" dxfId="5" priority="3" stopIfTrue="1" operator="equal">
      <formula>"Pending"</formula>
    </cfRule>
  </conditionalFormatting>
  <conditionalFormatting sqref="E6:AC15">
    <cfRule type="cellIs" dxfId="6" priority="4" stopIfTrue="1" operator="equal">
      <formula>"◆"</formula>
    </cfRule>
  </conditionalFormatting>
  <conditionalFormatting sqref="E6:AC15">
    <cfRule type="cellIs" dxfId="7" priority="5" stopIfTrue="1" operator="equal">
      <formula>"█"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.25"/>
    <col customWidth="1" min="2" max="2" width="28.88"/>
    <col customWidth="1" min="3" max="3" width="41.38"/>
    <col customWidth="1" min="4" max="4" width="38.88"/>
    <col customWidth="1" min="5" max="5" width="16.38"/>
    <col customWidth="1" min="6" max="6" width="25.13"/>
  </cols>
  <sheetData>
    <row r="2">
      <c r="B2" s="9" t="s">
        <v>7</v>
      </c>
      <c r="D2" s="10" t="s">
        <v>10</v>
      </c>
      <c r="E2" s="10" t="s">
        <v>13</v>
      </c>
      <c r="F2" s="10" t="s">
        <v>15</v>
      </c>
    </row>
    <row r="3">
      <c r="B3" s="4" t="s">
        <v>16</v>
      </c>
      <c r="D3" s="11">
        <f>E11</f>
        <v>0</v>
      </c>
      <c r="E3" s="13">
        <v>0.0</v>
      </c>
      <c r="F3" s="11">
        <f>D3-E3</f>
        <v>0</v>
      </c>
    </row>
    <row r="6">
      <c r="B6" s="7" t="s">
        <v>17</v>
      </c>
      <c r="C6" s="7" t="s">
        <v>18</v>
      </c>
      <c r="D6" s="7" t="s">
        <v>19</v>
      </c>
      <c r="E6" s="7" t="s">
        <v>20</v>
      </c>
      <c r="F6" s="7" t="s">
        <v>21</v>
      </c>
    </row>
    <row r="7">
      <c r="B7" s="15" t="s">
        <v>22</v>
      </c>
      <c r="C7" s="15" t="s">
        <v>23</v>
      </c>
      <c r="D7" s="15" t="s">
        <v>24</v>
      </c>
      <c r="E7" s="16">
        <v>0.0</v>
      </c>
      <c r="F7" s="17" t="s">
        <v>25</v>
      </c>
    </row>
    <row r="8">
      <c r="B8" s="15" t="s">
        <v>26</v>
      </c>
      <c r="C8" s="15" t="s">
        <v>27</v>
      </c>
      <c r="D8" s="15" t="s">
        <v>28</v>
      </c>
      <c r="E8" s="16">
        <v>0.0</v>
      </c>
      <c r="F8" s="17" t="s">
        <v>29</v>
      </c>
    </row>
    <row r="9">
      <c r="B9" s="15" t="s">
        <v>30</v>
      </c>
      <c r="C9" s="15" t="s">
        <v>31</v>
      </c>
      <c r="D9" s="15" t="s">
        <v>32</v>
      </c>
      <c r="E9" s="16">
        <v>0.0</v>
      </c>
      <c r="F9" s="17" t="s">
        <v>33</v>
      </c>
    </row>
    <row r="10">
      <c r="B10" s="15" t="s">
        <v>35</v>
      </c>
      <c r="C10" s="15" t="s">
        <v>36</v>
      </c>
      <c r="D10" s="15" t="s">
        <v>38</v>
      </c>
      <c r="E10" s="16">
        <v>0.0</v>
      </c>
      <c r="F10" s="17" t="s">
        <v>41</v>
      </c>
    </row>
    <row r="11">
      <c r="B11" s="20" t="s">
        <v>42</v>
      </c>
      <c r="E11" s="21">
        <f>SUM(E7:E10)</f>
        <v>0</v>
      </c>
      <c r="F11" s="20" t="s">
        <v>46</v>
      </c>
    </row>
  </sheetData>
  <mergeCells count="3">
    <mergeCell ref="B2:C2"/>
    <mergeCell ref="B3:C3"/>
    <mergeCell ref="B11:D11"/>
  </mergeCells>
  <drawing r:id="rId1"/>
  <tableParts count="1">
    <tablePart r:id="rId3"/>
  </tableParts>
</worksheet>
</file>